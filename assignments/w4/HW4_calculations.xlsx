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I Calculation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2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tabSelected="1" workbookViewId="0">
      <selection activeCell="A3" sqref="A3"/>
    </sheetView>
  </sheetViews>
  <sheetFormatPr baseColWidth="10" defaultRowHeight="16"/>
  <sheetData>
    <row r="1">
      <c r="A1" t="inlineStr">
        <is>
          <t>City of Biloxi Redevelopment Survey</t>
        </is>
      </c>
    </row>
    <row r="2">
      <c r="A2" t="inlineStr">
        <is>
          <t>Source: Adapted from data collected by Dr. Christopher Burton, Auburn University Department of Geosciences</t>
        </is>
      </c>
    </row>
    <row r="3">
      <c r="A3" t="inlineStr">
        <is>
          <t>Neighborhood</t>
        </is>
      </c>
      <c r="B3" t="inlineStr">
        <is>
          <t>Lot Number</t>
        </is>
      </c>
      <c r="C3" t="inlineStr">
        <is>
          <t>Rebuilt (1) or Vacant (0)</t>
        </is>
      </c>
    </row>
    <row r="4">
      <c r="A4" t="inlineStr">
        <is>
          <t>East Biloxi</t>
        </is>
      </c>
      <c r="B4" t="n">
        <v>1</v>
      </c>
      <c r="C4" t="n">
        <v>1</v>
      </c>
    </row>
    <row r="5">
      <c r="A5" t="inlineStr">
        <is>
          <t>East Biloxi</t>
        </is>
      </c>
      <c r="B5" t="n">
        <v>2</v>
      </c>
      <c r="C5" t="n">
        <v>1</v>
      </c>
    </row>
    <row r="6">
      <c r="A6" t="inlineStr">
        <is>
          <t>East Biloxi</t>
        </is>
      </c>
      <c r="B6" t="n">
        <v>3</v>
      </c>
      <c r="C6" t="n">
        <v>0</v>
      </c>
    </row>
    <row r="7">
      <c r="A7" t="inlineStr">
        <is>
          <t>East Biloxi</t>
        </is>
      </c>
      <c r="B7" t="n">
        <v>4</v>
      </c>
      <c r="C7" t="n">
        <v>1</v>
      </c>
    </row>
    <row r="8">
      <c r="A8" t="inlineStr">
        <is>
          <t>East Biloxi</t>
        </is>
      </c>
      <c r="B8" t="n">
        <v>5</v>
      </c>
      <c r="C8" t="n">
        <v>1</v>
      </c>
    </row>
    <row r="9">
      <c r="A9" t="inlineStr">
        <is>
          <t>East Biloxi</t>
        </is>
      </c>
      <c r="B9" t="n">
        <v>6</v>
      </c>
      <c r="C9" t="n">
        <v>0</v>
      </c>
    </row>
    <row r="10">
      <c r="A10" t="inlineStr">
        <is>
          <t>East Biloxi</t>
        </is>
      </c>
      <c r="B10" t="n">
        <v>7</v>
      </c>
      <c r="C10" t="n">
        <v>1</v>
      </c>
    </row>
    <row r="11">
      <c r="A11" t="inlineStr">
        <is>
          <t>East Biloxi</t>
        </is>
      </c>
      <c r="B11" t="n">
        <v>8</v>
      </c>
      <c r="C11" t="n">
        <v>0</v>
      </c>
    </row>
    <row r="12">
      <c r="A12" t="inlineStr">
        <is>
          <t>East Biloxi</t>
        </is>
      </c>
      <c r="B12" t="n">
        <v>9</v>
      </c>
      <c r="C12" t="n">
        <v>1</v>
      </c>
    </row>
    <row r="13">
      <c r="A13" t="inlineStr">
        <is>
          <t>East Biloxi</t>
        </is>
      </c>
      <c r="B13" t="n">
        <v>10</v>
      </c>
      <c r="C13" t="n">
        <v>0</v>
      </c>
    </row>
    <row r="14">
      <c r="A14" t="inlineStr">
        <is>
          <t>East Biloxi</t>
        </is>
      </c>
      <c r="B14" t="n">
        <v>11</v>
      </c>
      <c r="C14" t="n">
        <v>1</v>
      </c>
    </row>
    <row r="15">
      <c r="A15" t="inlineStr">
        <is>
          <t>East Biloxi</t>
        </is>
      </c>
      <c r="B15" t="n">
        <v>12</v>
      </c>
      <c r="C15" t="n">
        <v>1</v>
      </c>
    </row>
    <row r="16">
      <c r="A16" t="inlineStr">
        <is>
          <t>East Biloxi</t>
        </is>
      </c>
      <c r="B16" t="n">
        <v>13</v>
      </c>
      <c r="C16" t="n">
        <v>0</v>
      </c>
    </row>
    <row r="17">
      <c r="A17" t="inlineStr">
        <is>
          <t>East Biloxi</t>
        </is>
      </c>
      <c r="B17" t="n">
        <v>14</v>
      </c>
      <c r="C17" t="n">
        <v>1</v>
      </c>
    </row>
    <row r="18">
      <c r="A18" t="inlineStr">
        <is>
          <t>East Biloxi</t>
        </is>
      </c>
      <c r="B18" t="n">
        <v>15</v>
      </c>
      <c r="C18" t="n">
        <v>1</v>
      </c>
    </row>
    <row r="19">
      <c r="A19" t="inlineStr">
        <is>
          <t>East Biloxi</t>
        </is>
      </c>
      <c r="B19" t="n">
        <v>16</v>
      </c>
      <c r="C19" t="n">
        <v>1</v>
      </c>
    </row>
    <row r="20">
      <c r="A20" t="inlineStr">
        <is>
          <t>East Biloxi</t>
        </is>
      </c>
      <c r="B20" t="n">
        <v>17</v>
      </c>
      <c r="C20" t="n">
        <v>0</v>
      </c>
    </row>
    <row r="21">
      <c r="A21" t="inlineStr">
        <is>
          <t>East Biloxi</t>
        </is>
      </c>
      <c r="B21" t="n">
        <v>18</v>
      </c>
      <c r="C21" t="n">
        <v>1</v>
      </c>
    </row>
    <row r="22">
      <c r="A22" t="inlineStr">
        <is>
          <t>East Biloxi</t>
        </is>
      </c>
      <c r="B22" t="n">
        <v>19</v>
      </c>
      <c r="C22" t="n">
        <v>1</v>
      </c>
    </row>
    <row r="23">
      <c r="A23" t="inlineStr">
        <is>
          <t>East Biloxi</t>
        </is>
      </c>
      <c r="B23" t="n">
        <v>20</v>
      </c>
      <c r="C23" t="n">
        <v>1</v>
      </c>
    </row>
    <row r="24">
      <c r="A24" t="inlineStr">
        <is>
          <t>East Biloxi</t>
        </is>
      </c>
      <c r="B24" t="n">
        <v>21</v>
      </c>
      <c r="C24" t="n">
        <v>1</v>
      </c>
    </row>
    <row r="25">
      <c r="A25" t="inlineStr">
        <is>
          <t>East Biloxi</t>
        </is>
      </c>
      <c r="B25" t="n">
        <v>22</v>
      </c>
      <c r="C25" t="n">
        <v>1</v>
      </c>
    </row>
    <row r="26">
      <c r="A26" t="inlineStr">
        <is>
          <t>East Biloxi</t>
        </is>
      </c>
      <c r="B26" t="n">
        <v>23</v>
      </c>
      <c r="C26" t="n">
        <v>0</v>
      </c>
    </row>
    <row r="27">
      <c r="A27" t="inlineStr">
        <is>
          <t>East Biloxi</t>
        </is>
      </c>
      <c r="B27" t="n">
        <v>24</v>
      </c>
      <c r="C27" t="n">
        <v>1</v>
      </c>
    </row>
    <row r="28">
      <c r="A28" t="inlineStr">
        <is>
          <t>East Biloxi</t>
        </is>
      </c>
      <c r="B28" t="n">
        <v>25</v>
      </c>
      <c r="C28" t="n">
        <v>0</v>
      </c>
    </row>
    <row r="29">
      <c r="A29" t="inlineStr">
        <is>
          <t>East Biloxi</t>
        </is>
      </c>
      <c r="B29" t="n">
        <v>26</v>
      </c>
      <c r="C29" t="n">
        <v>1</v>
      </c>
    </row>
    <row r="30">
      <c r="A30" t="inlineStr">
        <is>
          <t>East Biloxi</t>
        </is>
      </c>
      <c r="B30" t="n">
        <v>27</v>
      </c>
      <c r="C30" t="n">
        <v>1</v>
      </c>
    </row>
    <row r="31">
      <c r="A31" t="inlineStr">
        <is>
          <t>East Biloxi</t>
        </is>
      </c>
      <c r="B31" t="n">
        <v>28</v>
      </c>
      <c r="C31" t="n">
        <v>1</v>
      </c>
    </row>
    <row r="32">
      <c r="A32" t="inlineStr">
        <is>
          <t>East Biloxi</t>
        </is>
      </c>
      <c r="B32" t="n">
        <v>29</v>
      </c>
      <c r="C32" t="n">
        <v>0</v>
      </c>
    </row>
    <row r="33">
      <c r="A33" t="inlineStr">
        <is>
          <t>East Biloxi</t>
        </is>
      </c>
      <c r="B33" t="n">
        <v>30</v>
      </c>
      <c r="C33" t="n">
        <v>1</v>
      </c>
    </row>
    <row r="34">
      <c r="A34" t="inlineStr">
        <is>
          <t>West Biloxi</t>
        </is>
      </c>
      <c r="B34" t="n">
        <v>1</v>
      </c>
      <c r="C34" t="n">
        <v>1</v>
      </c>
    </row>
    <row r="35">
      <c r="A35" t="inlineStr">
        <is>
          <t>West Biloxi</t>
        </is>
      </c>
      <c r="B35" t="n">
        <v>2</v>
      </c>
      <c r="C35" t="n">
        <v>0</v>
      </c>
    </row>
    <row r="36">
      <c r="A36" t="inlineStr">
        <is>
          <t>West Biloxi</t>
        </is>
      </c>
      <c r="B36" t="n">
        <v>3</v>
      </c>
      <c r="C36" t="n">
        <v>1</v>
      </c>
    </row>
    <row r="37">
      <c r="A37" t="inlineStr">
        <is>
          <t>West Biloxi</t>
        </is>
      </c>
      <c r="B37" t="n">
        <v>4</v>
      </c>
      <c r="C37" t="n">
        <v>0</v>
      </c>
    </row>
    <row r="38">
      <c r="A38" t="inlineStr">
        <is>
          <t>West Biloxi</t>
        </is>
      </c>
      <c r="B38" t="n">
        <v>5</v>
      </c>
      <c r="C38" t="n">
        <v>1</v>
      </c>
    </row>
    <row r="39">
      <c r="A39" t="inlineStr">
        <is>
          <t>West Biloxi</t>
        </is>
      </c>
      <c r="B39" t="n">
        <v>6</v>
      </c>
      <c r="C39" t="n">
        <v>0</v>
      </c>
    </row>
    <row r="40">
      <c r="A40" t="inlineStr">
        <is>
          <t>West Biloxi</t>
        </is>
      </c>
      <c r="B40" t="n">
        <v>7</v>
      </c>
      <c r="C40" t="n">
        <v>1</v>
      </c>
    </row>
    <row r="41">
      <c r="A41" t="inlineStr">
        <is>
          <t>West Biloxi</t>
        </is>
      </c>
      <c r="B41" t="n">
        <v>8</v>
      </c>
      <c r="C41" t="n">
        <v>1</v>
      </c>
    </row>
    <row r="42">
      <c r="A42" t="inlineStr">
        <is>
          <t>West Biloxi</t>
        </is>
      </c>
      <c r="B42" t="n">
        <v>9</v>
      </c>
      <c r="C42" t="n">
        <v>1</v>
      </c>
    </row>
    <row r="43">
      <c r="A43" t="inlineStr">
        <is>
          <t>West Biloxi</t>
        </is>
      </c>
      <c r="B43" t="n">
        <v>10</v>
      </c>
      <c r="C43" t="n">
        <v>1</v>
      </c>
    </row>
    <row r="44">
      <c r="A44" t="inlineStr">
        <is>
          <t>West Biloxi</t>
        </is>
      </c>
      <c r="B44" t="n">
        <v>11</v>
      </c>
      <c r="C44" t="n">
        <v>1</v>
      </c>
    </row>
    <row r="45">
      <c r="A45" t="inlineStr">
        <is>
          <t>West Biloxi</t>
        </is>
      </c>
      <c r="B45" t="n">
        <v>12</v>
      </c>
      <c r="C45" t="n">
        <v>1</v>
      </c>
    </row>
    <row r="46">
      <c r="A46" t="inlineStr">
        <is>
          <t>West Biloxi</t>
        </is>
      </c>
      <c r="B46" t="n">
        <v>13</v>
      </c>
      <c r="C46" t="n">
        <v>0</v>
      </c>
    </row>
    <row r="47">
      <c r="A47" t="inlineStr">
        <is>
          <t>West Biloxi</t>
        </is>
      </c>
      <c r="B47" t="n">
        <v>14</v>
      </c>
      <c r="C47" t="n">
        <v>1</v>
      </c>
    </row>
    <row r="48">
      <c r="A48" t="inlineStr">
        <is>
          <t>West Biloxi</t>
        </is>
      </c>
      <c r="B48" t="n">
        <v>15</v>
      </c>
      <c r="C48" t="n">
        <v>1</v>
      </c>
    </row>
    <row r="49">
      <c r="A49" t="inlineStr">
        <is>
          <t>West Biloxi</t>
        </is>
      </c>
      <c r="B49" t="n">
        <v>16</v>
      </c>
      <c r="C49" t="n">
        <v>1</v>
      </c>
    </row>
    <row r="50">
      <c r="A50" t="inlineStr">
        <is>
          <t>West Biloxi</t>
        </is>
      </c>
      <c r="B50" t="n">
        <v>17</v>
      </c>
      <c r="C50" t="n">
        <v>1</v>
      </c>
    </row>
    <row r="51">
      <c r="A51" t="inlineStr">
        <is>
          <t>West Biloxi</t>
        </is>
      </c>
      <c r="B51" t="n">
        <v>18</v>
      </c>
      <c r="C51" t="n">
        <v>1</v>
      </c>
    </row>
    <row r="52">
      <c r="A52" t="inlineStr">
        <is>
          <t>West Biloxi</t>
        </is>
      </c>
      <c r="B52" t="n">
        <v>19</v>
      </c>
      <c r="C52" t="n">
        <v>1</v>
      </c>
    </row>
    <row r="53">
      <c r="A53" t="inlineStr">
        <is>
          <t>West Biloxi</t>
        </is>
      </c>
      <c r="B53" t="n">
        <v>20</v>
      </c>
      <c r="C53" t="n">
        <v>1</v>
      </c>
    </row>
    <row r="54">
      <c r="A54" t="inlineStr">
        <is>
          <t>West Biloxi</t>
        </is>
      </c>
      <c r="B54" t="n">
        <v>21</v>
      </c>
      <c r="C54" t="n">
        <v>1</v>
      </c>
    </row>
    <row r="55">
      <c r="A55" t="inlineStr">
        <is>
          <t>West Biloxi</t>
        </is>
      </c>
      <c r="B55" t="n">
        <v>22</v>
      </c>
      <c r="C55" t="n">
        <v>1</v>
      </c>
    </row>
    <row r="56">
      <c r="A56" t="inlineStr">
        <is>
          <t>West Biloxi</t>
        </is>
      </c>
      <c r="B56" t="n">
        <v>23</v>
      </c>
      <c r="C56" t="n">
        <v>0</v>
      </c>
    </row>
    <row r="57">
      <c r="A57" t="inlineStr">
        <is>
          <t>West Biloxi</t>
        </is>
      </c>
      <c r="B57" t="n">
        <v>24</v>
      </c>
      <c r="C57" t="n">
        <v>1</v>
      </c>
    </row>
    <row r="58">
      <c r="A58" t="inlineStr">
        <is>
          <t>West Biloxi</t>
        </is>
      </c>
      <c r="B58" t="n">
        <v>25</v>
      </c>
      <c r="C58" t="n">
        <v>0</v>
      </c>
    </row>
    <row r="59">
      <c r="A59" t="inlineStr">
        <is>
          <t>West Biloxi</t>
        </is>
      </c>
      <c r="B59" t="n">
        <v>26</v>
      </c>
      <c r="C59" t="n">
        <v>1</v>
      </c>
    </row>
    <row r="60">
      <c r="A60" t="inlineStr">
        <is>
          <t>West Biloxi</t>
        </is>
      </c>
      <c r="B60" t="n">
        <v>27</v>
      </c>
      <c r="C60" t="n">
        <v>1</v>
      </c>
    </row>
    <row r="61">
      <c r="A61" t="inlineStr">
        <is>
          <t>West Biloxi</t>
        </is>
      </c>
      <c r="B61" t="n">
        <v>28</v>
      </c>
      <c r="C61" t="n">
        <v>1</v>
      </c>
    </row>
    <row r="62">
      <c r="A62" t="inlineStr">
        <is>
          <t>West Biloxi</t>
        </is>
      </c>
      <c r="B62" t="n">
        <v>29</v>
      </c>
      <c r="C62" t="n">
        <v>0</v>
      </c>
    </row>
    <row r="63">
      <c r="A63" t="inlineStr">
        <is>
          <t>West Biloxi</t>
        </is>
      </c>
      <c r="B63" t="n">
        <v>30</v>
      </c>
      <c r="C63" t="n">
        <v>1</v>
      </c>
    </row>
    <row r="64">
      <c r="A64" t="inlineStr">
        <is>
          <t>North Biloxi</t>
        </is>
      </c>
      <c r="B64" t="n">
        <v>1</v>
      </c>
      <c r="C64" t="n">
        <v>1</v>
      </c>
    </row>
    <row r="65">
      <c r="A65" t="inlineStr">
        <is>
          <t>North Biloxi</t>
        </is>
      </c>
      <c r="B65" t="n">
        <v>2</v>
      </c>
      <c r="C65" t="n">
        <v>1</v>
      </c>
    </row>
    <row r="66">
      <c r="A66" t="inlineStr">
        <is>
          <t>North Biloxi</t>
        </is>
      </c>
      <c r="B66" t="n">
        <v>3</v>
      </c>
      <c r="C66" t="n">
        <v>1</v>
      </c>
    </row>
    <row r="67">
      <c r="A67" t="inlineStr">
        <is>
          <t>North Biloxi</t>
        </is>
      </c>
      <c r="B67" t="n">
        <v>4</v>
      </c>
      <c r="C67" t="n">
        <v>1</v>
      </c>
    </row>
    <row r="68">
      <c r="A68" t="inlineStr">
        <is>
          <t>North Biloxi</t>
        </is>
      </c>
      <c r="B68" t="n">
        <v>5</v>
      </c>
      <c r="C68" t="n">
        <v>1</v>
      </c>
    </row>
    <row r="69">
      <c r="A69" t="inlineStr">
        <is>
          <t>North Biloxi</t>
        </is>
      </c>
      <c r="B69" t="n">
        <v>6</v>
      </c>
      <c r="C69" t="n">
        <v>1</v>
      </c>
    </row>
    <row r="70">
      <c r="A70" t="inlineStr">
        <is>
          <t>North Biloxi</t>
        </is>
      </c>
      <c r="B70" t="n">
        <v>7</v>
      </c>
      <c r="C70" t="n">
        <v>1</v>
      </c>
    </row>
    <row r="71">
      <c r="A71" t="inlineStr">
        <is>
          <t>North Biloxi</t>
        </is>
      </c>
      <c r="B71" t="n">
        <v>8</v>
      </c>
      <c r="C71" t="n">
        <v>1</v>
      </c>
    </row>
    <row r="72">
      <c r="A72" t="inlineStr">
        <is>
          <t>North Biloxi</t>
        </is>
      </c>
      <c r="B72" t="n">
        <v>9</v>
      </c>
      <c r="C72" t="n">
        <v>1</v>
      </c>
    </row>
    <row r="73">
      <c r="A73" t="inlineStr">
        <is>
          <t>North Biloxi</t>
        </is>
      </c>
      <c r="B73" t="n">
        <v>10</v>
      </c>
      <c r="C73" t="n">
        <v>1</v>
      </c>
    </row>
    <row r="74">
      <c r="A74" t="inlineStr">
        <is>
          <t>North Biloxi</t>
        </is>
      </c>
      <c r="B74" t="n">
        <v>11</v>
      </c>
      <c r="C74" t="n">
        <v>1</v>
      </c>
    </row>
    <row r="75">
      <c r="A75" t="inlineStr">
        <is>
          <t>North Biloxi</t>
        </is>
      </c>
      <c r="B75" t="n">
        <v>12</v>
      </c>
      <c r="C75" t="n">
        <v>1</v>
      </c>
    </row>
    <row r="76">
      <c r="A76" t="inlineStr">
        <is>
          <t>North Biloxi</t>
        </is>
      </c>
      <c r="B76" t="n">
        <v>13</v>
      </c>
      <c r="C76" t="n">
        <v>1</v>
      </c>
    </row>
    <row r="77">
      <c r="A77" t="inlineStr">
        <is>
          <t>North Biloxi</t>
        </is>
      </c>
      <c r="B77" t="n">
        <v>14</v>
      </c>
      <c r="C77" t="n">
        <v>1</v>
      </c>
    </row>
    <row r="78">
      <c r="A78" t="inlineStr">
        <is>
          <t>North Biloxi</t>
        </is>
      </c>
      <c r="B78" t="n">
        <v>15</v>
      </c>
      <c r="C78" t="n">
        <v>1</v>
      </c>
    </row>
    <row r="79">
      <c r="A79" t="inlineStr">
        <is>
          <t>North Biloxi</t>
        </is>
      </c>
      <c r="B79" t="n">
        <v>16</v>
      </c>
      <c r="C79" t="n">
        <v>1</v>
      </c>
    </row>
    <row r="80">
      <c r="A80" t="inlineStr">
        <is>
          <t>North Biloxi</t>
        </is>
      </c>
      <c r="B80" t="n">
        <v>17</v>
      </c>
      <c r="C80" t="n">
        <v>1</v>
      </c>
    </row>
    <row r="81">
      <c r="A81" t="inlineStr">
        <is>
          <t>North Biloxi</t>
        </is>
      </c>
      <c r="B81" t="n">
        <v>18</v>
      </c>
      <c r="C81" t="n">
        <v>1</v>
      </c>
    </row>
    <row r="82">
      <c r="A82" t="inlineStr">
        <is>
          <t>North Biloxi</t>
        </is>
      </c>
      <c r="B82" t="n">
        <v>19</v>
      </c>
      <c r="C82" t="n">
        <v>1</v>
      </c>
    </row>
    <row r="83">
      <c r="A83" t="inlineStr">
        <is>
          <t>North Biloxi</t>
        </is>
      </c>
      <c r="B83" t="n">
        <v>20</v>
      </c>
      <c r="C83" t="n">
        <v>1</v>
      </c>
    </row>
    <row r="84">
      <c r="A84" t="inlineStr">
        <is>
          <t>North Biloxi</t>
        </is>
      </c>
      <c r="B84" t="n">
        <v>21</v>
      </c>
      <c r="C84" t="n">
        <v>1</v>
      </c>
    </row>
    <row r="85">
      <c r="A85" t="inlineStr">
        <is>
          <t>North Biloxi</t>
        </is>
      </c>
      <c r="B85" t="n">
        <v>22</v>
      </c>
      <c r="C85" t="n">
        <v>1</v>
      </c>
    </row>
    <row r="86">
      <c r="A86" t="inlineStr">
        <is>
          <t>North Biloxi</t>
        </is>
      </c>
      <c r="B86" t="n">
        <v>23</v>
      </c>
      <c r="C86" t="n">
        <v>0</v>
      </c>
    </row>
    <row r="87">
      <c r="A87" t="inlineStr">
        <is>
          <t>North Biloxi</t>
        </is>
      </c>
      <c r="B87" t="n">
        <v>24</v>
      </c>
      <c r="C87" t="n">
        <v>1</v>
      </c>
    </row>
    <row r="88">
      <c r="A88" t="inlineStr">
        <is>
          <t>North Biloxi</t>
        </is>
      </c>
      <c r="B88" t="n">
        <v>25</v>
      </c>
      <c r="C88" t="n">
        <v>1</v>
      </c>
    </row>
    <row r="89">
      <c r="A89" t="inlineStr">
        <is>
          <t>North Biloxi</t>
        </is>
      </c>
      <c r="B89" t="n">
        <v>26</v>
      </c>
      <c r="C89" t="n">
        <v>1</v>
      </c>
    </row>
    <row r="90">
      <c r="A90" t="inlineStr">
        <is>
          <t>North Biloxi</t>
        </is>
      </c>
      <c r="B90" t="n">
        <v>27</v>
      </c>
      <c r="C90" t="n">
        <v>1</v>
      </c>
    </row>
    <row r="91">
      <c r="A91" t="inlineStr">
        <is>
          <t>North Biloxi</t>
        </is>
      </c>
      <c r="B91" t="n">
        <v>28</v>
      </c>
      <c r="C91" t="n">
        <v>1</v>
      </c>
    </row>
    <row r="92">
      <c r="A92" t="inlineStr">
        <is>
          <t>North Biloxi</t>
        </is>
      </c>
      <c r="B92" t="n">
        <v>29</v>
      </c>
      <c r="C92" t="n">
        <v>1</v>
      </c>
    </row>
    <row r="93">
      <c r="A93" t="inlineStr">
        <is>
          <t>North Biloxi</t>
        </is>
      </c>
      <c r="B93" t="n">
        <v>30</v>
      </c>
      <c r="C93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95% Confidence Intervals for the Proportion of Rebuilt Lots</t>
        </is>
      </c>
    </row>
    <row r="2">
      <c r="A2" t="inlineStr">
        <is>
          <t>Confidence level</t>
        </is>
      </c>
      <c r="B2" t="n">
        <v>0.95</v>
      </c>
    </row>
    <row r="3">
      <c r="A3" t="inlineStr">
        <is>
          <t>Critical value z* = NORM.S.INV(1-(1-CL)/2)</t>
        </is>
      </c>
      <c r="B3" s="2">
        <f>_xlfn.NORM.S.INV(1-(1-B2)/2)</f>
        <v/>
      </c>
    </row>
    <row r="5" ht="60" customHeight="1">
      <c r="A5" s="3" t="inlineStr">
        <is>
          <t>Neighborhood</t>
        </is>
      </c>
      <c r="B5" s="3" t="inlineStr">
        <is>
          <t>n = COUNTIF</t>
        </is>
      </c>
      <c r="C5" s="3" t="inlineStr">
        <is>
          <t>x (rebuilt) = SUMIF</t>
        </is>
      </c>
      <c r="D5" s="3" t="inlineStr">
        <is>
          <t>p̂ = x/n</t>
        </is>
      </c>
      <c r="E5" s="3" t="inlineStr">
        <is>
          <t>SE = SQRT(p̂(1-p̂)/n)</t>
        </is>
      </c>
      <c r="F5" s="3" t="inlineStr">
        <is>
          <t>Margin of error = z*·SE</t>
        </is>
      </c>
      <c r="G5" s="3" t="inlineStr">
        <is>
          <t>Lower bound = p̂ - ME</t>
        </is>
      </c>
      <c r="H5" s="3" t="inlineStr">
        <is>
          <t>Upper bound = p̂ + ME</t>
        </is>
      </c>
      <c r="I5" s="3" t="inlineStr">
        <is>
          <t>Reported upper bound = MIN(1, UB)</t>
        </is>
      </c>
      <c r="J5" s="3" t="inlineStr">
        <is>
          <t>n·p̂</t>
        </is>
      </c>
      <c r="K5" s="3" t="inlineStr">
        <is>
          <t>n·(1-p̂)</t>
        </is>
      </c>
    </row>
    <row r="6">
      <c r="A6" s="4" t="inlineStr">
        <is>
          <t>East Biloxi</t>
        </is>
      </c>
      <c r="B6" s="4">
        <f>COUNTIF(Data!$A$4:$A$93,A6)</f>
        <v/>
      </c>
      <c r="C6" s="4">
        <f>SUMIF(Data!$A$4:$A$93,A6,Data!$C$4:$C$93)</f>
        <v/>
      </c>
      <c r="D6" s="5">
        <f>C6/B6</f>
        <v/>
      </c>
      <c r="E6" s="5">
        <f>SQRT(D6*(1-D6)/B6)</f>
        <v/>
      </c>
      <c r="F6" s="5">
        <f>$B$3*E6</f>
        <v/>
      </c>
      <c r="G6" s="5">
        <f>D6-F6</f>
        <v/>
      </c>
      <c r="H6" s="5">
        <f>D6+F6</f>
        <v/>
      </c>
      <c r="I6" s="5">
        <f>MIN(1,H6)</f>
        <v/>
      </c>
      <c r="J6" s="6">
        <f>B6*D6</f>
        <v/>
      </c>
      <c r="K6" s="6">
        <f>B6*(1-D6)</f>
        <v/>
      </c>
    </row>
    <row r="7">
      <c r="A7" s="4" t="inlineStr">
        <is>
          <t>West Biloxi</t>
        </is>
      </c>
      <c r="B7" s="4">
        <f>COUNTIF(Data!$A$4:$A$93,A7)</f>
        <v/>
      </c>
      <c r="C7" s="4">
        <f>SUMIF(Data!$A$4:$A$93,A7,Data!$C$4:$C$93)</f>
        <v/>
      </c>
      <c r="D7" s="5">
        <f>C7/B7</f>
        <v/>
      </c>
      <c r="E7" s="5">
        <f>SQRT(D7*(1-D7)/B7)</f>
        <v/>
      </c>
      <c r="F7" s="5">
        <f>$B$3*E7</f>
        <v/>
      </c>
      <c r="G7" s="5">
        <f>D7-F7</f>
        <v/>
      </c>
      <c r="H7" s="5">
        <f>D7+F7</f>
        <v/>
      </c>
      <c r="I7" s="5">
        <f>MIN(1,H7)</f>
        <v/>
      </c>
      <c r="J7" s="6">
        <f>B7*D7</f>
        <v/>
      </c>
      <c r="K7" s="6">
        <f>B7*(1-D7)</f>
        <v/>
      </c>
    </row>
    <row r="8">
      <c r="A8" s="4" t="inlineStr">
        <is>
          <t>North Biloxi</t>
        </is>
      </c>
      <c r="B8" s="4">
        <f>COUNTIF(Data!$A$4:$A$93,A8)</f>
        <v/>
      </c>
      <c r="C8" s="4">
        <f>SUMIF(Data!$A$4:$A$93,A8,Data!$C$4:$C$93)</f>
        <v/>
      </c>
      <c r="D8" s="5">
        <f>C8/B8</f>
        <v/>
      </c>
      <c r="E8" s="5">
        <f>SQRT(D8*(1-D8)/B8)</f>
        <v/>
      </c>
      <c r="F8" s="5">
        <f>$B$3*E8</f>
        <v/>
      </c>
      <c r="G8" s="5">
        <f>D8-F8</f>
        <v/>
      </c>
      <c r="H8" s="5">
        <f>D8+F8</f>
        <v/>
      </c>
      <c r="I8" s="5">
        <f>MIN(1,H8)</f>
        <v/>
      </c>
      <c r="J8" s="6">
        <f>B8*D8</f>
        <v/>
      </c>
      <c r="K8" s="6">
        <f>B8*(1-D8)</f>
        <v/>
      </c>
    </row>
    <row r="10">
      <c r="A10" t="inlineStr">
        <is>
          <t>Note: North Biloxi upper bound exceeds 1 and is reported as 1.000; n(1-p̂) = 1 &lt; 5, so the normal approximation is weak for North Biloxi.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Frances O'Donnell</dc:creator>
  <dcterms:created xmlns:dcterms="http://purl.org/dc/terms/" xmlns:xsi="http://www.w3.org/2001/XMLSchema-instance" xsi:type="dcterms:W3CDTF">2019-08-19T20:17:54Z</dcterms:created>
  <dcterms:modified xmlns:dcterms="http://purl.org/dc/terms/" xmlns:xsi="http://www.w3.org/2001/XMLSchema-instance" xsi:type="dcterms:W3CDTF">2026-10-15T03:42:11Z</dcterms:modified>
  <cp:lastModifiedBy>Microsoft Office User</cp:lastModifiedBy>
</cp:coreProperties>
</file>